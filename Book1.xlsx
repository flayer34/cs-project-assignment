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TM 2082\Yashraj Dhung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E9" i="1"/>
  <c r="F9" i="1"/>
  <c r="F3" i="1"/>
  <c r="F4" i="1"/>
  <c r="F5" i="1"/>
  <c r="F6" i="1"/>
  <c r="F7" i="1"/>
  <c r="F8" i="1"/>
  <c r="F2" i="1"/>
  <c r="D9" i="1"/>
  <c r="E3" i="1"/>
  <c r="E4" i="1"/>
  <c r="E5" i="1"/>
  <c r="E6" i="1"/>
  <c r="E7" i="1"/>
  <c r="E8" i="1"/>
  <c r="E2" i="1"/>
  <c r="C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<sst xmlns="http://schemas.openxmlformats.org/spreadsheetml/2006/main" count="16" uniqueCount="16">
  <si>
    <t>Id Name</t>
  </si>
  <si>
    <t>Work Hour</t>
  </si>
  <si>
    <t>Pay rate</t>
  </si>
  <si>
    <t>Tax (13%)</t>
  </si>
  <si>
    <t>Net Pay</t>
  </si>
  <si>
    <t>1. Harry</t>
  </si>
  <si>
    <t>2. Harry B</t>
  </si>
  <si>
    <t>3.Harry C</t>
  </si>
  <si>
    <t>4. Harry D</t>
  </si>
  <si>
    <t>5. Josh D</t>
  </si>
  <si>
    <t>6.Knae</t>
  </si>
  <si>
    <t>7.Sane</t>
  </si>
  <si>
    <t xml:space="preserve">    Total</t>
  </si>
  <si>
    <t xml:space="preserve">Gross </t>
  </si>
  <si>
    <t>MINIMUM NetPay</t>
  </si>
  <si>
    <t>MAXIMUM NetPay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</si>
</sst>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Normal="100" workbookViewId="0">
      <selection activeCell="B11" sqref="B11"/>
    </sheetView>
  </sheetViews>
  <sheetFormatPr defaultRowHeight="15" x14ac:dyDescent="0.25"/>
  <cols>
    <col min="1" max="1" width="11.28515625" customWidth="1"/>
    <col min="2" max="2" width="11" customWidth="1"/>
    <col min="4" max="4" width="17.42578125" customWidth="1"/>
    <col min="5" max="5" width="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</row>
    <row r="2" spans="1:6" x14ac:dyDescent="0.25">
      <c r="A2" t="s">
        <v>5</v>
      </c>
      <c r="B2">
        <v>45</v>
      </c>
      <c r="C2">
        <v>26</v>
      </c>
      <c r="D2">
        <v>1170</v>
      </c>
      <c r="E2">
        <f>D2*0.13</f>
        <v>152.1</v>
      </c>
      <c r="F2">
        <f>D2-E2</f>
        <v>1017.9</v>
      </c>
    </row>
    <row r="3" spans="1:6" x14ac:dyDescent="0.25">
      <c r="A3" t="s">
        <v>6</v>
      </c>
      <c r="B3">
        <v>55</v>
      </c>
      <c r="C3">
        <v>15</v>
      </c>
      <c r="D3">
        <f>SUMPRODUCT(B3*C3)</f>
        <v>825</v>
      </c>
      <c r="E3">
        <f t="shared" ref="E3:E8" si="0">D3*0.13</f>
        <v>107.25</v>
      </c>
      <c r="F3">
        <f t="shared" ref="F3:F8" si="1">D3-E3</f>
        <v>717.75</v>
      </c>
    </row>
    <row r="4" spans="1:6" x14ac:dyDescent="0.25">
      <c r="A4" t="s">
        <v>7</v>
      </c>
      <c r="B4">
        <v>24</v>
      </c>
      <c r="C4">
        <v>24</v>
      </c>
      <c r="D4">
        <f>SUMPRODUCT(B4*C4)</f>
        <v>576</v>
      </c>
      <c r="E4">
        <f t="shared" si="0"/>
        <v>74.88</v>
      </c>
      <c r="F4">
        <f t="shared" si="1"/>
        <v>501.12</v>
      </c>
    </row>
    <row r="5" spans="1:6" x14ac:dyDescent="0.25">
      <c r="A5" t="s">
        <v>8</v>
      </c>
      <c r="B5">
        <v>36</v>
      </c>
      <c r="C5">
        <v>20</v>
      </c>
      <c r="D5">
        <f>SUMPRODUCT(B5*C5)</f>
        <v>720</v>
      </c>
      <c r="E5">
        <f t="shared" si="0"/>
        <v>93.600000000000009</v>
      </c>
      <c r="F5">
        <f t="shared" si="1"/>
        <v>626.4</v>
      </c>
    </row>
    <row r="6" spans="1:6" x14ac:dyDescent="0.25">
      <c r="A6" t="s">
        <v>9</v>
      </c>
      <c r="B6">
        <v>65</v>
      </c>
      <c r="C6">
        <v>20</v>
      </c>
      <c r="D6">
        <f>SUMPRODUCT(B6*C6)</f>
        <v>1300</v>
      </c>
      <c r="E6">
        <f t="shared" si="0"/>
        <v>169</v>
      </c>
      <c r="F6">
        <f t="shared" si="1"/>
        <v>1131</v>
      </c>
    </row>
    <row r="7" spans="1:6" x14ac:dyDescent="0.25">
      <c r="A7" t="s">
        <v>10</v>
      </c>
      <c r="B7">
        <v>45</v>
      </c>
      <c r="C7">
        <v>30</v>
      </c>
      <c r="D7">
        <f>SUMPRODUCT(B7*C7)</f>
        <v>1350</v>
      </c>
      <c r="E7">
        <f t="shared" si="0"/>
        <v>175.5</v>
      </c>
      <c r="F7">
        <f t="shared" si="1"/>
        <v>1174.5</v>
      </c>
    </row>
    <row r="8" spans="1:6" x14ac:dyDescent="0.25">
      <c r="A8" t="s">
        <v>11</v>
      </c>
      <c r="B8">
        <v>40</v>
      </c>
      <c r="C8">
        <v>45</v>
      </c>
      <c r="D8">
        <f>SUMPRODUCT(B8*C8)</f>
        <v>1800</v>
      </c>
      <c r="E8">
        <f t="shared" si="0"/>
        <v>234</v>
      </c>
      <c r="F8">
        <f t="shared" si="1"/>
        <v>1566</v>
      </c>
    </row>
    <row r="9" spans="1:6" x14ac:dyDescent="0.25">
      <c r="A9" t="s">
        <v>12</v>
      </c>
      <c r="B9">
        <f>SUM(B2:B8)</f>
        <v>310</v>
      </c>
      <c r="C9">
        <f>SUM(C2:C8)</f>
        <v>180</v>
      </c>
      <c r="D9">
        <f>SUM(D2:D8)</f>
        <v>7741</v>
      </c>
      <c r="E9">
        <f>SUM(E2:E8)</f>
        <v>1006.33</v>
      </c>
      <c r="F9">
        <f>SUM(F2:F8)</f>
        <v>6734.67</v>
      </c>
    </row>
    <row r="11" spans="1:6" x14ac:dyDescent="0.25">
      <c r="D11" t="s">
        <v>14</v>
      </c>
      <c r="E11">
        <v>501.12</v>
      </c>
    </row>
    <row r="12" spans="1:6" x14ac:dyDescent="0.25">
      <c r="D12" t="s">
        <v>15</v>
      </c>
      <c r="E12">
        <v>6734.67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2025-12-01T01:11:50Z</dcterms:created>
  <dcterms:modified xsi:type="dcterms:W3CDTF">2025-12-01T01:44:21Z</dcterms:modified>
</cp:coreProperties>
</file>